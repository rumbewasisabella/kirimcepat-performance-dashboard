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BINUS\SEMESTER 1\Data Modelling\Final Exam\"/>
    </mc:Choice>
  </mc:AlternateContent>
  <xr:revisionPtr revIDLastSave="0" documentId="13_ncr:1_{455FF996-F16D-4D4C-B5E1-252BBBA5B3D9}" xr6:coauthVersionLast="47" xr6:coauthVersionMax="47" xr10:uidLastSave="{00000000-0000-0000-0000-000000000000}"/>
  <bookViews>
    <workbookView xWindow="-120" yWindow="-120" windowWidth="20730" windowHeight="11040" xr2:uid="{B098CC1F-E162-4412-8695-F6A2E0ACD620}"/>
  </bookViews>
  <sheets>
    <sheet name="Dashboard" sheetId="2" r:id="rId1"/>
    <sheet name="Revenue" sheetId="3" r:id="rId2"/>
    <sheet name="PaketDikirim" sheetId="4" r:id="rId3"/>
    <sheet name="Kendala" sheetId="5" r:id="rId4"/>
    <sheet name="Data" sheetId="1" r:id="rId5"/>
  </sheets>
  <definedNames>
    <definedName name="Slicer_Area">#N/A</definedName>
    <definedName name="Slicer_Bula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3" l="1"/>
  <c r="T7" i="2"/>
  <c r="B9" i="4"/>
  <c r="T3" i="2"/>
  <c r="T6" i="2"/>
  <c r="B10" i="5"/>
</calcChain>
</file>

<file path=xl/sharedStrings.xml><?xml version="1.0" encoding="utf-8"?>
<sst xmlns="http://schemas.openxmlformats.org/spreadsheetml/2006/main" count="47" uniqueCount="22">
  <si>
    <t>Bulan</t>
  </si>
  <si>
    <t>Area</t>
  </si>
  <si>
    <t>Revenue</t>
  </si>
  <si>
    <t>PaketDikirim</t>
  </si>
  <si>
    <t>Kendala</t>
  </si>
  <si>
    <t>Jan</t>
  </si>
  <si>
    <t>Barat</t>
  </si>
  <si>
    <t>Feb</t>
  </si>
  <si>
    <t>Tengah</t>
  </si>
  <si>
    <t>Mar</t>
  </si>
  <si>
    <t>Timur</t>
  </si>
  <si>
    <t>Row Labels</t>
  </si>
  <si>
    <t>Grand Total</t>
  </si>
  <si>
    <t>Sum of Revenue</t>
  </si>
  <si>
    <t>Sum of PaketDikirim</t>
  </si>
  <si>
    <t>Sum of Kendala</t>
  </si>
  <si>
    <t>Details for Sum of Revenue</t>
  </si>
  <si>
    <t>Sparkline:</t>
  </si>
  <si>
    <t>Sparkline</t>
  </si>
  <si>
    <t>Total Kendala</t>
  </si>
  <si>
    <t xml:space="preserve">Total Paket </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</si>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</sst>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1" formatCode="_-* #,##0_-;\-* #,##0_-;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1" fontId="1" fillId="0" borderId="0" applyFont="0" applyFill="0" applyBorder="0" applyAlignment="0" applyProtection="0"/>
  </cellStyleXfs>
  <cellXfs count="7">
    <xf numFmtId="0" fontId="0" fillId="0" borderId="0" xfId="0"/>
    <xf numFmtId="41" fontId="0" fillId="0" borderId="0" xfId="1" applyFont="1"/>
    <xf numFmtId="0" fontId="0" fillId="0" borderId="0" xfId="0" pivotButton="1"/>
    <xf numFmtId="0" fontId="0" fillId="0" borderId="0" xfId="0" applyAlignment="1">
      <alignment horizontal="left"/>
    </xf>
    <xf numFmtId="41" fontId="0" fillId="0" borderId="0" xfId="0" applyNumberFormat="1"/>
    <xf numFmtId="0" fontId="2" fillId="0" borderId="0" xfId="0" applyFont="1"/>
    <xf numFmtId="0" fontId="3" fillId="0" borderId="0" xfId="0" applyFont="1"/>
  </cellXfs>
  <cellStyles count="2">
    <cellStyle name="Comma [0]" xfId="1" builtinId="6"/>
    <cellStyle name="Normal" xfId="0" builtinId="0"/>
  </cellStyles>
  <dxfs count="4">
    <dxf>
      <font>
        <b val="0"/>
        <i val="0"/>
        <strike val="0"/>
        <condense val="0"/>
        <extend val="0"/>
        <outline val="0"/>
        <shadow val="0"/>
        <u val="none"/>
        <vertAlign val="baseline"/>
        <sz val="11"/>
        <color theme="1"/>
        <name val="Calibri"/>
        <family val="2"/>
        <scheme val="minor"/>
      </font>
    </dxf>
    <dxf>
      <font>
        <b/>
        <i val="0"/>
        <color theme="1"/>
      </font>
      <fill>
        <patternFill>
          <bgColor rgb="FF2384F9"/>
        </patternFill>
      </fill>
      <border diagonalUp="0" diagonalDown="0">
        <left/>
        <right/>
        <top/>
        <bottom/>
        <vertical/>
        <horizontal/>
      </border>
    </dxf>
    <dxf>
      <font>
        <b/>
        <i val="0"/>
        <color theme="0"/>
      </font>
      <fill>
        <patternFill>
          <bgColor rgb="FF00374B"/>
        </patternFill>
      </fill>
      <border diagonalUp="0" diagonalDown="0">
        <left/>
        <right/>
        <top/>
        <bottom/>
        <vertical/>
        <horizontal/>
      </border>
    </dxf>
    <dxf>
      <border diagonalUp="0" diagonalDown="0">
        <left/>
        <right/>
        <top/>
        <bottom/>
        <vertical/>
        <horizontal/>
      </border>
    </dxf>
  </dxfs>
  <tableStyles count="3" defaultTableStyle="TableStyleMedium2" defaultPivotStyle="PivotStyleLight16">
    <tableStyle name="Slicer Style 1" pivot="0" table="0" count="3" xr9:uid="{6AF0F126-B136-4BA4-9409-9E6750F1123A}">
      <tableStyleElement type="wholeTable" dxfId="3"/>
    </tableStyle>
    <tableStyle name="Slicer Style 2" pivot="0" table="0" count="3" xr9:uid="{E2BDAAC8-3C82-42BF-A2F3-8F5E4250212E}">
      <tableStyleElement type="wholeTable" dxfId="2"/>
    </tableStyle>
    <tableStyle name="Slicer Style 3" pivot="0" table="0" count="3" xr9:uid="{13670BB5-FA03-41BB-87F1-CC41673CD04D}">
      <tableStyleElement type="wholeTable" dxfId="1"/>
    </tableStyle>
  </tableStyles>
  <colors>
    <mruColors>
      <color rgb="FFE5F0F2"/>
      <color rgb="FF0F4956"/>
      <color rgb="FF347F57"/>
      <color rgb="FF48A05E"/>
      <color rgb="FFEDF7F9"/>
      <color rgb="FFE2F3F6"/>
      <color rgb="FF34805C"/>
      <color rgb="FF585D89"/>
      <color rgb="FF456AAE"/>
      <color rgb="FF2384F9"/>
    </mruColors>
  </colors>
  <extLst>
    <ext xmlns:x14="http://schemas.microsoft.com/office/spreadsheetml/2009/9/main" uri="{46F421CA-312F-682f-3DD2-61675219B42D}">
      <x14:dxfs count="6">
        <dxf>
          <fill>
            <patternFill>
              <bgColor rgb="FF5EFFE1"/>
            </patternFill>
          </fill>
          <border diagonalUp="0" diagonalDown="0">
            <left/>
            <right/>
            <top/>
            <bottom/>
            <vertical/>
            <horizontal/>
          </border>
        </dxf>
        <dxf>
          <fill>
            <patternFill>
              <bgColor rgb="FF6989C1"/>
            </patternFill>
          </fill>
          <border diagonalUp="0" diagonalDown="0">
            <left/>
            <right/>
            <top/>
            <bottom/>
            <vertical/>
            <horizontal/>
          </border>
        </dxf>
        <dxf>
          <fill>
            <patternFill>
              <bgColor rgb="FF4C659F"/>
            </patternFill>
          </fill>
          <border diagonalUp="0" diagonalDown="0">
            <left/>
            <right/>
            <top/>
            <bottom/>
            <vertical/>
            <horizontal/>
          </border>
        </dxf>
        <dxf>
          <fill>
            <patternFill>
              <bgColor rgb="FF00374B"/>
            </patternFill>
          </fill>
          <border diagonalUp="0" diagonalDown="0">
            <left/>
            <right/>
            <top/>
            <bottom/>
            <vertical/>
            <horizontal/>
          </border>
        </dxf>
        <dxf>
          <font>
            <sz val="12"/>
            <color theme="1" tint="0.34998626667073579"/>
          </font>
          <fill>
            <patternFill>
              <bgColor rgb="FF7DFFE7"/>
            </patternFill>
          </fill>
          <border diagonalUp="0" diagonalDown="0">
            <left/>
            <right/>
            <top/>
            <bottom/>
            <vertical/>
            <horizontal/>
          </border>
        </dxf>
        <dxf>
          <fill>
            <patternFill>
              <bgColor rgb="FFFFFF0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s>
        </x14:slicerStyle>
        <x14:slicerStyle name="Slicer Style 2">
          <x14:slicerStyleElements>
            <x14:slicerStyleElement type="unselectedItemWithData" dxfId="3"/>
            <x14:slicerStyleElement type="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[KirimCepat.xlsx]Revenue!Pivot_Revenue</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Revenue per Bulan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D"/>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Revenue!$A$4:$A$7</c:f>
              <c:strCache>
                <c:ptCount val="3"/>
                <c:pt idx="0">
                  <c:v>Jan</c:v>
                </c:pt>
                <c:pt idx="1">
                  <c:v>Feb</c:v>
                </c:pt>
                <c:pt idx="2">
                  <c:v>Mar</c:v>
                </c:pt>
              </c:strCache>
            </c:strRef>
          </c:cat>
          <c:val>
            <c:numRef>
              <c:f>Revenue!$B$4:$B$7</c:f>
              <c:numCache>
                <c:formatCode>_(* #,##0_);_(* \(#,##0\);_(* "-"_);_(@_)</c:formatCode>
                <c:ptCount val="3"/>
                <c:pt idx="0">
                  <c:v>12000000</c:v>
                </c:pt>
                <c:pt idx="1">
                  <c:v>11500000</c:v>
                </c:pt>
                <c:pt idx="2">
                  <c:v>10800000</c:v>
                </c:pt>
              </c:numCache>
            </c:numRef>
          </c:val>
          <c:extLst>
            <c:ext xmlns:c16="http://schemas.microsoft.com/office/drawing/2014/chart" uri="{C3380CC4-5D6E-409C-BE32-E72D297353CC}">
              <c16:uniqueId val="{00000000-4681-4B8F-9A6C-3B89BFDF6F90}"/>
            </c:ext>
          </c:extLst>
        </c:ser>
        <c:dLbls>
          <c:dLblPos val="outEnd"/>
          <c:showLegendKey val="0"/>
          <c:showVal val="1"/>
          <c:showCatName val="0"/>
          <c:showSerName val="0"/>
          <c:showPercent val="0"/>
          <c:showBubbleSize val="0"/>
        </c:dLbls>
        <c:gapWidth val="100"/>
        <c:overlap val="-24"/>
        <c:axId val="520972191"/>
        <c:axId val="520973151"/>
      </c:barChart>
      <c:catAx>
        <c:axId val="5209721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Bulan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73151"/>
        <c:crosses val="autoZero"/>
        <c:auto val="1"/>
        <c:lblAlgn val="ctr"/>
        <c:lblOffset val="100"/>
        <c:noMultiLvlLbl val="0"/>
      </c:catAx>
      <c:valAx>
        <c:axId val="520973151"/>
        <c:scaling>
          <c:orientation val="minMax"/>
          <c:min val="0"/>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7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gs>
        <a:gs pos="100000">
          <a:srgbClr val="E5F0F2"/>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[KirimCepat.xlsx]PaketDikirim!Pivot_Paket</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Paket Dikirim </a:t>
            </a:r>
          </a:p>
          <a:p>
            <a:pPr>
              <a:defRPr/>
            </a:pPr>
            <a:r>
              <a:rPr lang="en-US"/>
              <a:t>per Bulan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PaketDikirim!$B$3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PaketDikirim!$A$4:$A$7</c:f>
              <c:strCache>
                <c:ptCount val="3"/>
                <c:pt idx="0">
                  <c:v>Jan</c:v>
                </c:pt>
                <c:pt idx="1">
                  <c:v>Feb</c:v>
                </c:pt>
                <c:pt idx="2">
                  <c:v>Mar</c:v>
                </c:pt>
              </c:strCache>
            </c:strRef>
          </c:cat>
          <c:val>
            <c:numRef>
              <c:f>PaketDikirim!$B$4:$B$7</c:f>
              <c:numCache>
                <c:formatCode>General</c:formatCode>
                <c:ptCount val="3"/>
                <c:pt idx="0">
                  <c:v>800</c:v>
                </c:pt>
                <c:pt idx="1">
                  <c:v>760</c:v>
                </c:pt>
                <c:pt idx="2">
                  <c:v>720</c:v>
                </c:pt>
              </c:numCache>
            </c:numRef>
          </c:val>
          <c:extLst>
            <c:ext xmlns:c16="http://schemas.microsoft.com/office/drawing/2014/chart" uri="{C3380CC4-5D6E-409C-BE32-E72D297353CC}">
              <c16:uniqueId val="{00000000-FB4D-4881-B1B8-7ED4A01C8ECD}"/>
            </c:ext>
          </c:extLst>
        </c:ser>
        <c:dLbls>
          <c:dLblPos val="outEnd"/>
          <c:showLegendKey val="0"/>
          <c:showVal val="1"/>
          <c:showCatName val="0"/>
          <c:showSerName val="0"/>
          <c:showPercent val="0"/>
          <c:showBubbleSize val="0"/>
        </c:dLbls>
        <c:gapWidth val="100"/>
        <c:overlap val="-24"/>
        <c:axId val="520977951"/>
        <c:axId val="520989471"/>
      </c:barChart>
      <c:catAx>
        <c:axId val="5209779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Bulan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0989471"/>
        <c:crosses val="autoZero"/>
        <c:auto val="1"/>
        <c:lblAlgn val="ctr"/>
        <c:lblOffset val="100"/>
        <c:noMultiLvlLbl val="0"/>
      </c:catAx>
      <c:valAx>
        <c:axId val="520989471"/>
        <c:scaling>
          <c:orientation val="minMax"/>
          <c:min val="0"/>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Paket Dikirim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097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rgbClr val="E5F0F2"/>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[KirimCepat.xlsx]Kendala!Pivot_Kendala</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baseline="0"/>
              <a:t>Jumlah Kendala Operasional per Bulan</a:t>
            </a:r>
            <a:endParaRPr lang="en-ID" b="1"/>
          </a:p>
        </c:rich>
      </c:tx>
      <c:layout>
        <c:manualLayout>
          <c:xMode val="edge"/>
          <c:yMode val="edge"/>
          <c:x val="0.21166666666666667"/>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Kendala!$B$3</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Kendala!$A$4:$A$7</c:f>
              <c:strCache>
                <c:ptCount val="3"/>
                <c:pt idx="0">
                  <c:v>Jan</c:v>
                </c:pt>
                <c:pt idx="1">
                  <c:v>Feb</c:v>
                </c:pt>
                <c:pt idx="2">
                  <c:v>Mar</c:v>
                </c:pt>
              </c:strCache>
            </c:strRef>
          </c:cat>
          <c:val>
            <c:numRef>
              <c:f>Kendala!$B$4:$B$7</c:f>
              <c:numCache>
                <c:formatCode>General</c:formatCode>
                <c:ptCount val="3"/>
                <c:pt idx="0">
                  <c:v>45</c:v>
                </c:pt>
                <c:pt idx="1">
                  <c:v>50</c:v>
                </c:pt>
                <c:pt idx="2">
                  <c:v>55</c:v>
                </c:pt>
              </c:numCache>
            </c:numRef>
          </c:val>
          <c:smooth val="0"/>
          <c:extLst>
            <c:ext xmlns:c16="http://schemas.microsoft.com/office/drawing/2014/chart" uri="{C3380CC4-5D6E-409C-BE32-E72D297353CC}">
              <c16:uniqueId val="{00000000-935D-4C01-97F6-4F7FE8BAD95F}"/>
            </c:ext>
          </c:extLst>
        </c:ser>
        <c:dLbls>
          <c:dLblPos val="t"/>
          <c:showLegendKey val="0"/>
          <c:showVal val="1"/>
          <c:showCatName val="0"/>
          <c:showSerName val="0"/>
          <c:showPercent val="0"/>
          <c:showBubbleSize val="0"/>
        </c:dLbls>
        <c:marker val="1"/>
        <c:smooth val="0"/>
        <c:axId val="521000031"/>
        <c:axId val="521000511"/>
      </c:lineChart>
      <c:catAx>
        <c:axId val="521000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t>Bulan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000511"/>
        <c:crosses val="autoZero"/>
        <c:auto val="1"/>
        <c:lblAlgn val="ctr"/>
        <c:lblOffset val="100"/>
        <c:noMultiLvlLbl val="0"/>
      </c:catAx>
      <c:valAx>
        <c:axId val="521000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t>Jumlah Kendala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00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rgbClr val="E5F0F2"/>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[KirimCepat.xlsx]Revenue!Pivot_Revenue</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Revenue per Bulan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D"/>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Revenue!$A$4:$A$7</c:f>
              <c:strCache>
                <c:ptCount val="3"/>
                <c:pt idx="0">
                  <c:v>Jan</c:v>
                </c:pt>
                <c:pt idx="1">
                  <c:v>Feb</c:v>
                </c:pt>
                <c:pt idx="2">
                  <c:v>Mar</c:v>
                </c:pt>
              </c:strCache>
            </c:strRef>
          </c:cat>
          <c:val>
            <c:numRef>
              <c:f>Revenue!$B$4:$B$7</c:f>
              <c:numCache>
                <c:formatCode>_(* #,##0_);_(* \(#,##0\);_(* "-"_);_(@_)</c:formatCode>
                <c:ptCount val="3"/>
                <c:pt idx="0">
                  <c:v>12000000</c:v>
                </c:pt>
                <c:pt idx="1">
                  <c:v>11500000</c:v>
                </c:pt>
                <c:pt idx="2">
                  <c:v>10800000</c:v>
                </c:pt>
              </c:numCache>
            </c:numRef>
          </c:val>
          <c:extLst>
            <c:ext xmlns:c16="http://schemas.microsoft.com/office/drawing/2014/chart" uri="{C3380CC4-5D6E-409C-BE32-E72D297353CC}">
              <c16:uniqueId val="{00000000-81DD-43EE-8C30-D88019D8D063}"/>
            </c:ext>
          </c:extLst>
        </c:ser>
        <c:dLbls>
          <c:dLblPos val="outEnd"/>
          <c:showLegendKey val="0"/>
          <c:showVal val="1"/>
          <c:showCatName val="0"/>
          <c:showSerName val="0"/>
          <c:showPercent val="0"/>
          <c:showBubbleSize val="0"/>
        </c:dLbls>
        <c:gapWidth val="100"/>
        <c:overlap val="-24"/>
        <c:axId val="520972191"/>
        <c:axId val="520973151"/>
      </c:barChart>
      <c:catAx>
        <c:axId val="5209721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Bulan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73151"/>
        <c:crosses val="autoZero"/>
        <c:auto val="1"/>
        <c:lblAlgn val="ctr"/>
        <c:lblOffset val="100"/>
        <c:noMultiLvlLbl val="0"/>
      </c:catAx>
      <c:valAx>
        <c:axId val="520973151"/>
        <c:scaling>
          <c:orientation val="minMax"/>
          <c:min val="0"/>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7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gs>
        <a:gs pos="100000">
          <a:srgbClr val="E5F0F2"/>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[KirimCepat.xlsx]PaketDikirim!Pivot_Paket</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Paket Dikirim per Bulan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PaketDikirim!$B$3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PaketDikirim!$A$4:$A$7</c:f>
              <c:strCache>
                <c:ptCount val="3"/>
                <c:pt idx="0">
                  <c:v>Jan</c:v>
                </c:pt>
                <c:pt idx="1">
                  <c:v>Feb</c:v>
                </c:pt>
                <c:pt idx="2">
                  <c:v>Mar</c:v>
                </c:pt>
              </c:strCache>
            </c:strRef>
          </c:cat>
          <c:val>
            <c:numRef>
              <c:f>PaketDikirim!$B$4:$B$7</c:f>
              <c:numCache>
                <c:formatCode>General</c:formatCode>
                <c:ptCount val="3"/>
                <c:pt idx="0">
                  <c:v>800</c:v>
                </c:pt>
                <c:pt idx="1">
                  <c:v>760</c:v>
                </c:pt>
                <c:pt idx="2">
                  <c:v>720</c:v>
                </c:pt>
              </c:numCache>
            </c:numRef>
          </c:val>
          <c:extLst>
            <c:ext xmlns:c16="http://schemas.microsoft.com/office/drawing/2014/chart" uri="{C3380CC4-5D6E-409C-BE32-E72D297353CC}">
              <c16:uniqueId val="{00000000-9991-4A86-A86E-46C49E4D426A}"/>
            </c:ext>
          </c:extLst>
        </c:ser>
        <c:dLbls>
          <c:dLblPos val="outEnd"/>
          <c:showLegendKey val="0"/>
          <c:showVal val="1"/>
          <c:showCatName val="0"/>
          <c:showSerName val="0"/>
          <c:showPercent val="0"/>
          <c:showBubbleSize val="0"/>
        </c:dLbls>
        <c:gapWidth val="100"/>
        <c:overlap val="-24"/>
        <c:axId val="520977951"/>
        <c:axId val="520989471"/>
      </c:barChart>
      <c:catAx>
        <c:axId val="5209779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Bulan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0989471"/>
        <c:crosses val="autoZero"/>
        <c:auto val="1"/>
        <c:lblAlgn val="ctr"/>
        <c:lblOffset val="100"/>
        <c:noMultiLvlLbl val="0"/>
      </c:catAx>
      <c:valAx>
        <c:axId val="520989471"/>
        <c:scaling>
          <c:orientation val="minMax"/>
          <c:min val="0"/>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Paket Dikirim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097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rgbClr val="E5F0F2"/>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[KirimCepat.xlsx]Kendala!Pivot_Kendala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baseline="0"/>
              <a:t>Jumlah Kendala Operasional per Bulan</a:t>
            </a:r>
            <a:endParaRPr lang="en-ID" b="1"/>
          </a:p>
        </c:rich>
      </c:tx>
      <c:layout>
        <c:manualLayout>
          <c:xMode val="edge"/>
          <c:yMode val="edge"/>
          <c:x val="0.21166666666666667"/>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Kendala!$B$3</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Kendala!$A$4:$A$7</c:f>
              <c:strCache>
                <c:ptCount val="3"/>
                <c:pt idx="0">
                  <c:v>Jan</c:v>
                </c:pt>
                <c:pt idx="1">
                  <c:v>Feb</c:v>
                </c:pt>
                <c:pt idx="2">
                  <c:v>Mar</c:v>
                </c:pt>
              </c:strCache>
            </c:strRef>
          </c:cat>
          <c:val>
            <c:numRef>
              <c:f>Kendala!$B$4:$B$7</c:f>
              <c:numCache>
                <c:formatCode>General</c:formatCode>
                <c:ptCount val="3"/>
                <c:pt idx="0">
                  <c:v>45</c:v>
                </c:pt>
                <c:pt idx="1">
                  <c:v>50</c:v>
                </c:pt>
                <c:pt idx="2">
                  <c:v>55</c:v>
                </c:pt>
              </c:numCache>
            </c:numRef>
          </c:val>
          <c:smooth val="0"/>
          <c:extLst>
            <c:ext xmlns:c16="http://schemas.microsoft.com/office/drawing/2014/chart" uri="{C3380CC4-5D6E-409C-BE32-E72D297353CC}">
              <c16:uniqueId val="{00000000-0431-47F9-8BC0-AC8B3F76FB8D}"/>
            </c:ext>
          </c:extLst>
        </c:ser>
        <c:dLbls>
          <c:dLblPos val="t"/>
          <c:showLegendKey val="0"/>
          <c:showVal val="1"/>
          <c:showCatName val="0"/>
          <c:showSerName val="0"/>
          <c:showPercent val="0"/>
          <c:showBubbleSize val="0"/>
        </c:dLbls>
        <c:marker val="1"/>
        <c:smooth val="0"/>
        <c:axId val="521000031"/>
        <c:axId val="521000511"/>
      </c:lineChart>
      <c:catAx>
        <c:axId val="521000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t>Bulan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000511"/>
        <c:crosses val="autoZero"/>
        <c:auto val="1"/>
        <c:lblAlgn val="ctr"/>
        <c:lblOffset val="100"/>
        <c:noMultiLvlLbl val="0"/>
      </c:catAx>
      <c:valAx>
        <c:axId val="521000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t>Jumlah Kendala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00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rgbClr val="E5F0F2"/>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20</xdr:col>
      <xdr:colOff>225592</xdr:colOff>
      <xdr:row>42</xdr:row>
      <xdr:rowOff>41414</xdr:rowOff>
    </xdr:to>
    <xdr:sp macro="" textlink="">
      <xdr:nvSpPr>
        <xdr:cNvPr id="52" name="Rectangle 51">
          <a:extLst>
            <a:ext uri="{FF2B5EF4-FFF2-40B4-BE49-F238E27FC236}">
              <a16:creationId xmlns:a16="http://schemas.microsoft.com/office/drawing/2014/main" id="{F8A1EB57-E120-9ACE-623B-7EE997C1D095}"/>
            </a:ext>
          </a:extLst>
        </xdr:cNvPr>
        <xdr:cNvSpPr/>
      </xdr:nvSpPr>
      <xdr:spPr>
        <a:xfrm>
          <a:off x="0" y="1"/>
          <a:ext cx="12482763" cy="8463518"/>
        </a:xfrm>
        <a:prstGeom prst="rect">
          <a:avLst/>
        </a:prstGeom>
        <a:gradFill flip="none" rotWithShape="1">
          <a:gsLst>
            <a:gs pos="50000">
              <a:srgbClr val="347F57"/>
            </a:gs>
            <a:gs pos="0">
              <a:srgbClr val="48A05E"/>
            </a:gs>
            <a:gs pos="100000">
              <a:srgbClr val="0F4956"/>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374579</xdr:colOff>
      <xdr:row>1</xdr:row>
      <xdr:rowOff>90875</xdr:rowOff>
    </xdr:from>
    <xdr:to>
      <xdr:col>16</xdr:col>
      <xdr:colOff>347738</xdr:colOff>
      <xdr:row>38</xdr:row>
      <xdr:rowOff>116417</xdr:rowOff>
    </xdr:to>
    <xdr:sp macro="" textlink="">
      <xdr:nvSpPr>
        <xdr:cNvPr id="10" name="Rectangle: Rounded Corners 9">
          <a:extLst>
            <a:ext uri="{FF2B5EF4-FFF2-40B4-BE49-F238E27FC236}">
              <a16:creationId xmlns:a16="http://schemas.microsoft.com/office/drawing/2014/main" id="{83952D20-9946-DDE3-C924-2C6A12E861AE}"/>
            </a:ext>
          </a:extLst>
        </xdr:cNvPr>
        <xdr:cNvSpPr/>
      </xdr:nvSpPr>
      <xdr:spPr>
        <a:xfrm>
          <a:off x="988412" y="281375"/>
          <a:ext cx="9381743" cy="7105792"/>
        </a:xfrm>
        <a:prstGeom prst="roundRect">
          <a:avLst>
            <a:gd name="adj" fmla="val 8707"/>
          </a:avLst>
        </a:prstGeom>
        <a:gradFill>
          <a:gsLst>
            <a:gs pos="0">
              <a:srgbClr val="439D66"/>
            </a:gs>
            <a:gs pos="44000">
              <a:srgbClr val="248771"/>
            </a:gs>
            <a:gs pos="100000">
              <a:srgbClr val="01677A"/>
            </a:gs>
          </a:gsLst>
          <a:lin ang="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521328</xdr:colOff>
      <xdr:row>1</xdr:row>
      <xdr:rowOff>88324</xdr:rowOff>
    </xdr:from>
    <xdr:to>
      <xdr:col>3</xdr:col>
      <xdr:colOff>480701</xdr:colOff>
      <xdr:row>38</xdr:row>
      <xdr:rowOff>116417</xdr:rowOff>
    </xdr:to>
    <xdr:sp macro="" textlink="">
      <xdr:nvSpPr>
        <xdr:cNvPr id="5" name="Rectangle: Rounded Corners 4">
          <a:extLst>
            <a:ext uri="{FF2B5EF4-FFF2-40B4-BE49-F238E27FC236}">
              <a16:creationId xmlns:a16="http://schemas.microsoft.com/office/drawing/2014/main" id="{C6B0D638-EA38-A1A5-2D4E-63120C4F3AA1}"/>
            </a:ext>
          </a:extLst>
        </xdr:cNvPr>
        <xdr:cNvSpPr/>
      </xdr:nvSpPr>
      <xdr:spPr>
        <a:xfrm>
          <a:off x="521328" y="278824"/>
          <a:ext cx="1800873" cy="7108343"/>
        </a:xfrm>
        <a:prstGeom prst="roundRect">
          <a:avLst>
            <a:gd name="adj" fmla="val 8707"/>
          </a:avLst>
        </a:prstGeom>
        <a:solidFill>
          <a:srgbClr val="0347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584596</xdr:colOff>
      <xdr:row>9</xdr:row>
      <xdr:rowOff>151726</xdr:rowOff>
    </xdr:from>
    <xdr:to>
      <xdr:col>3</xdr:col>
      <xdr:colOff>418388</xdr:colOff>
      <xdr:row>16</xdr:row>
      <xdr:rowOff>123194</xdr:rowOff>
    </xdr:to>
    <mc:AlternateContent xmlns:mc="http://schemas.openxmlformats.org/markup-compatibility/2006" xmlns:a14="http://schemas.microsoft.com/office/drawing/2010/main">
      <mc:Choice Requires="a14">
        <xdr:graphicFrame macro="">
          <xdr:nvGraphicFramePr>
            <xdr:cNvPr id="15" name="Bulan 2">
              <a:extLst>
                <a:ext uri="{FF2B5EF4-FFF2-40B4-BE49-F238E27FC236}">
                  <a16:creationId xmlns:a16="http://schemas.microsoft.com/office/drawing/2014/main" id="{8D31F422-2AAF-4FF0-B7F9-C17E04AC78D0}"/>
                </a:ext>
              </a:extLst>
            </xdr:cNvPr>
            <xdr:cNvGraphicFramePr/>
          </xdr:nvGraphicFramePr>
          <xdr:xfrm>
            <a:off x="0" y="0"/>
            <a:ext cx="0" cy="0"/>
          </xdr:xfrm>
          <a:graphic>
            <a:graphicData uri="http://schemas.microsoft.com/office/drawing/2010/slicer">
              <sle:slicer xmlns:sle="http://schemas.microsoft.com/office/drawing/2010/slicer" name="Bulan 2"/>
            </a:graphicData>
          </a:graphic>
        </xdr:graphicFrame>
      </mc:Choice>
      <mc:Fallback xmlns="">
        <xdr:sp macro="" textlink="">
          <xdr:nvSpPr>
            <xdr:cNvPr id="0" name=""/>
            <xdr:cNvSpPr>
              <a:spLocks noTextEdit="1"/>
            </xdr:cNvSpPr>
          </xdr:nvSpPr>
          <xdr:spPr>
            <a:xfrm>
              <a:off x="584596" y="1937664"/>
              <a:ext cx="1679261" cy="136053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582597</xdr:colOff>
      <xdr:row>18</xdr:row>
      <xdr:rowOff>90254</xdr:rowOff>
    </xdr:from>
    <xdr:to>
      <xdr:col>3</xdr:col>
      <xdr:colOff>417028</xdr:colOff>
      <xdr:row>25</xdr:row>
      <xdr:rowOff>62861</xdr:rowOff>
    </xdr:to>
    <mc:AlternateContent xmlns:mc="http://schemas.openxmlformats.org/markup-compatibility/2006" xmlns:a14="http://schemas.microsoft.com/office/drawing/2010/main">
      <mc:Choice Requires="a14">
        <xdr:graphicFrame macro="">
          <xdr:nvGraphicFramePr>
            <xdr:cNvPr id="17" name="Area 2">
              <a:extLst>
                <a:ext uri="{FF2B5EF4-FFF2-40B4-BE49-F238E27FC236}">
                  <a16:creationId xmlns:a16="http://schemas.microsoft.com/office/drawing/2014/main" id="{ED4AD4F6-4EAA-4E6F-B1C1-7065218114DB}"/>
                </a:ext>
              </a:extLst>
            </xdr:cNvPr>
            <xdr:cNvGraphicFramePr/>
          </xdr:nvGraphicFramePr>
          <xdr:xfrm>
            <a:off x="0" y="0"/>
            <a:ext cx="0" cy="0"/>
          </xdr:xfrm>
          <a:graphic>
            <a:graphicData uri="http://schemas.microsoft.com/office/drawing/2010/slicer">
              <sle:slicer xmlns:sle="http://schemas.microsoft.com/office/drawing/2010/slicer" name="Area 2"/>
            </a:graphicData>
          </a:graphic>
        </xdr:graphicFrame>
      </mc:Choice>
      <mc:Fallback xmlns="">
        <xdr:sp macro="" textlink="">
          <xdr:nvSpPr>
            <xdr:cNvPr id="0" name=""/>
            <xdr:cNvSpPr>
              <a:spLocks noTextEdit="1"/>
            </xdr:cNvSpPr>
          </xdr:nvSpPr>
          <xdr:spPr>
            <a:xfrm>
              <a:off x="582597" y="3662129"/>
              <a:ext cx="1679900" cy="13616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601093</xdr:colOff>
      <xdr:row>2</xdr:row>
      <xdr:rowOff>36990</xdr:rowOff>
    </xdr:from>
    <xdr:to>
      <xdr:col>3</xdr:col>
      <xdr:colOff>471627</xdr:colOff>
      <xdr:row>6</xdr:row>
      <xdr:rowOff>138714</xdr:rowOff>
    </xdr:to>
    <xdr:sp macro="" textlink="">
      <xdr:nvSpPr>
        <xdr:cNvPr id="18" name="TextBox 17">
          <a:extLst>
            <a:ext uri="{FF2B5EF4-FFF2-40B4-BE49-F238E27FC236}">
              <a16:creationId xmlns:a16="http://schemas.microsoft.com/office/drawing/2014/main" id="{55E8FFD4-12E6-3EA8-D240-C17B960AE297}"/>
            </a:ext>
          </a:extLst>
        </xdr:cNvPr>
        <xdr:cNvSpPr txBox="1"/>
      </xdr:nvSpPr>
      <xdr:spPr>
        <a:xfrm>
          <a:off x="601093" y="425388"/>
          <a:ext cx="1701553" cy="878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400" b="1">
              <a:solidFill>
                <a:schemeClr val="bg1"/>
              </a:solidFill>
            </a:rPr>
            <a:t>Dashboard</a:t>
          </a:r>
          <a:r>
            <a:rPr lang="en-ID" sz="2400" b="1" baseline="0">
              <a:solidFill>
                <a:schemeClr val="bg1"/>
              </a:solidFill>
            </a:rPr>
            <a:t> KirimCepat</a:t>
          </a:r>
          <a:endParaRPr lang="en-ID" sz="2400" b="1">
            <a:solidFill>
              <a:schemeClr val="bg1"/>
            </a:solidFill>
          </a:endParaRPr>
        </a:p>
      </xdr:txBody>
    </xdr:sp>
    <xdr:clientData/>
  </xdr:twoCellAnchor>
  <xdr:twoCellAnchor>
    <xdr:from>
      <xdr:col>4</xdr:col>
      <xdr:colOff>121279</xdr:colOff>
      <xdr:row>2</xdr:row>
      <xdr:rowOff>116900</xdr:rowOff>
    </xdr:from>
    <xdr:to>
      <xdr:col>7</xdr:col>
      <xdr:colOff>531395</xdr:colOff>
      <xdr:row>8</xdr:row>
      <xdr:rowOff>104775</xdr:rowOff>
    </xdr:to>
    <xdr:sp macro="" textlink="Revenue!B9">
      <xdr:nvSpPr>
        <xdr:cNvPr id="19" name="Rectangle: Rounded Corners 18">
          <a:extLst>
            <a:ext uri="{FF2B5EF4-FFF2-40B4-BE49-F238E27FC236}">
              <a16:creationId xmlns:a16="http://schemas.microsoft.com/office/drawing/2014/main" id="{A2EFA33A-6FBA-EED2-CA14-2AFD58B6D6C1}"/>
            </a:ext>
          </a:extLst>
        </xdr:cNvPr>
        <xdr:cNvSpPr/>
      </xdr:nvSpPr>
      <xdr:spPr>
        <a:xfrm>
          <a:off x="2577726" y="492887"/>
          <a:ext cx="2252452" cy="1115835"/>
        </a:xfrm>
        <a:prstGeom prst="roundRect">
          <a:avLst>
            <a:gd name="adj" fmla="val 8707"/>
          </a:avLst>
        </a:prstGeom>
        <a:gradFill>
          <a:gsLst>
            <a:gs pos="0">
              <a:srgbClr val="84D371"/>
            </a:gs>
            <a:gs pos="53000">
              <a:srgbClr val="2DB76D"/>
            </a:gs>
            <a:gs pos="100000">
              <a:srgbClr val="08986B"/>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88C137F-E081-47D6-A619-E152D1D2C03E}" type="TxLink">
            <a:rPr lang="en-US" sz="2800" b="1" i="0" u="none" strike="noStrike">
              <a:solidFill>
                <a:schemeClr val="bg1"/>
              </a:solidFill>
              <a:latin typeface="Calibri"/>
              <a:ea typeface="Calibri"/>
              <a:cs typeface="Calibri"/>
            </a:rPr>
            <a:t>34300000</a:t>
          </a:fld>
          <a:endParaRPr lang="en-ID" sz="2800" b="1">
            <a:solidFill>
              <a:schemeClr val="bg1"/>
            </a:solidFill>
          </a:endParaRPr>
        </a:p>
      </xdr:txBody>
    </xdr:sp>
    <xdr:clientData/>
  </xdr:twoCellAnchor>
  <xdr:twoCellAnchor>
    <xdr:from>
      <xdr:col>4</xdr:col>
      <xdr:colOff>125803</xdr:colOff>
      <xdr:row>2</xdr:row>
      <xdr:rowOff>134787</xdr:rowOff>
    </xdr:from>
    <xdr:to>
      <xdr:col>7</xdr:col>
      <xdr:colOff>511919</xdr:colOff>
      <xdr:row>4</xdr:row>
      <xdr:rowOff>62901</xdr:rowOff>
    </xdr:to>
    <xdr:sp macro="" textlink="">
      <xdr:nvSpPr>
        <xdr:cNvPr id="20" name="TextBox 19">
          <a:extLst>
            <a:ext uri="{FF2B5EF4-FFF2-40B4-BE49-F238E27FC236}">
              <a16:creationId xmlns:a16="http://schemas.microsoft.com/office/drawing/2014/main" id="{E6F6031B-BDDA-3405-0679-610E0637C922}"/>
            </a:ext>
          </a:extLst>
        </xdr:cNvPr>
        <xdr:cNvSpPr txBox="1"/>
      </xdr:nvSpPr>
      <xdr:spPr>
        <a:xfrm>
          <a:off x="2572224" y="515787"/>
          <a:ext cx="2220932" cy="30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0">
              <a:solidFill>
                <a:schemeClr val="bg1"/>
              </a:solidFill>
            </a:rPr>
            <a:t>Total Revenue</a:t>
          </a:r>
        </a:p>
      </xdr:txBody>
    </xdr:sp>
    <xdr:clientData/>
  </xdr:twoCellAnchor>
  <xdr:twoCellAnchor>
    <xdr:from>
      <xdr:col>7</xdr:col>
      <xdr:colOff>805074</xdr:colOff>
      <xdr:row>2</xdr:row>
      <xdr:rowOff>108879</xdr:rowOff>
    </xdr:from>
    <xdr:to>
      <xdr:col>11</xdr:col>
      <xdr:colOff>393032</xdr:colOff>
      <xdr:row>8</xdr:row>
      <xdr:rowOff>96754</xdr:rowOff>
    </xdr:to>
    <xdr:sp macro="" textlink="PaketDikirim!B9">
      <xdr:nvSpPr>
        <xdr:cNvPr id="6" name="Rectangle: Rounded Corners 5">
          <a:extLst>
            <a:ext uri="{FF2B5EF4-FFF2-40B4-BE49-F238E27FC236}">
              <a16:creationId xmlns:a16="http://schemas.microsoft.com/office/drawing/2014/main" id="{7CB36076-024D-4039-8634-2B6AA2EB992A}"/>
            </a:ext>
          </a:extLst>
        </xdr:cNvPr>
        <xdr:cNvSpPr/>
      </xdr:nvSpPr>
      <xdr:spPr>
        <a:xfrm>
          <a:off x="5103857" y="484866"/>
          <a:ext cx="2244932" cy="1115835"/>
        </a:xfrm>
        <a:prstGeom prst="roundRect">
          <a:avLst>
            <a:gd name="adj" fmla="val 8707"/>
          </a:avLst>
        </a:prstGeom>
        <a:gradFill>
          <a:gsLst>
            <a:gs pos="0">
              <a:srgbClr val="15C68D"/>
            </a:gs>
            <a:gs pos="51000">
              <a:srgbClr val="0E9E8F"/>
            </a:gs>
            <a:gs pos="100000">
              <a:srgbClr val="098590"/>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C2BD9D0-A729-44C5-BC1F-94C2E8194D3F}" type="TxLink">
            <a:rPr lang="en-US" sz="2800" b="1" i="0" u="none" strike="noStrike">
              <a:solidFill>
                <a:schemeClr val="bg1"/>
              </a:solidFill>
              <a:latin typeface="Calibri"/>
              <a:ea typeface="Calibri"/>
              <a:cs typeface="Calibri"/>
            </a:rPr>
            <a:t>2280</a:t>
          </a:fld>
          <a:endParaRPr lang="en-ID" sz="2800" b="1">
            <a:solidFill>
              <a:schemeClr val="bg1"/>
            </a:solidFill>
          </a:endParaRPr>
        </a:p>
      </xdr:txBody>
    </xdr:sp>
    <xdr:clientData/>
  </xdr:twoCellAnchor>
  <xdr:twoCellAnchor>
    <xdr:from>
      <xdr:col>7</xdr:col>
      <xdr:colOff>809598</xdr:colOff>
      <xdr:row>2</xdr:row>
      <xdr:rowOff>126766</xdr:rowOff>
    </xdr:from>
    <xdr:to>
      <xdr:col>11</xdr:col>
      <xdr:colOff>373556</xdr:colOff>
      <xdr:row>4</xdr:row>
      <xdr:rowOff>54880</xdr:rowOff>
    </xdr:to>
    <xdr:sp macro="" textlink="">
      <xdr:nvSpPr>
        <xdr:cNvPr id="7" name="TextBox 6">
          <a:extLst>
            <a:ext uri="{FF2B5EF4-FFF2-40B4-BE49-F238E27FC236}">
              <a16:creationId xmlns:a16="http://schemas.microsoft.com/office/drawing/2014/main" id="{4E9FCD48-02CA-4F18-9110-F12CCB2E9BDB}"/>
            </a:ext>
          </a:extLst>
        </xdr:cNvPr>
        <xdr:cNvSpPr txBox="1"/>
      </xdr:nvSpPr>
      <xdr:spPr>
        <a:xfrm>
          <a:off x="5090835" y="507766"/>
          <a:ext cx="2220932" cy="30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0">
              <a:solidFill>
                <a:schemeClr val="bg1"/>
              </a:solidFill>
            </a:rPr>
            <a:t>Total Paket</a:t>
          </a:r>
          <a:r>
            <a:rPr lang="en-ID" sz="2000" b="0" baseline="0">
              <a:solidFill>
                <a:schemeClr val="bg1"/>
              </a:solidFill>
            </a:rPr>
            <a:t> Dikirm</a:t>
          </a:r>
          <a:endParaRPr lang="en-ID" sz="2000" b="0">
            <a:solidFill>
              <a:schemeClr val="bg1"/>
            </a:solidFill>
          </a:endParaRPr>
        </a:p>
      </xdr:txBody>
    </xdr:sp>
    <xdr:clientData/>
  </xdr:twoCellAnchor>
  <xdr:twoCellAnchor>
    <xdr:from>
      <xdr:col>12</xdr:col>
      <xdr:colOff>77659</xdr:colOff>
      <xdr:row>2</xdr:row>
      <xdr:rowOff>109650</xdr:rowOff>
    </xdr:from>
    <xdr:to>
      <xdr:col>15</xdr:col>
      <xdr:colOff>489690</xdr:colOff>
      <xdr:row>8</xdr:row>
      <xdr:rowOff>97525</xdr:rowOff>
    </xdr:to>
    <xdr:sp macro="" textlink="Kendala!B10">
      <xdr:nvSpPr>
        <xdr:cNvPr id="8" name="Rectangle: Rounded Corners 7">
          <a:extLst>
            <a:ext uri="{FF2B5EF4-FFF2-40B4-BE49-F238E27FC236}">
              <a16:creationId xmlns:a16="http://schemas.microsoft.com/office/drawing/2014/main" id="{236F628E-2C27-4AD7-9F23-DED317B00726}"/>
            </a:ext>
          </a:extLst>
        </xdr:cNvPr>
        <xdr:cNvSpPr/>
      </xdr:nvSpPr>
      <xdr:spPr>
        <a:xfrm>
          <a:off x="7647527" y="485637"/>
          <a:ext cx="2254367" cy="1115835"/>
        </a:xfrm>
        <a:prstGeom prst="roundRect">
          <a:avLst>
            <a:gd name="adj" fmla="val 8707"/>
          </a:avLst>
        </a:prstGeom>
        <a:gradFill>
          <a:gsLst>
            <a:gs pos="0">
              <a:srgbClr val="2384F9"/>
            </a:gs>
            <a:gs pos="54000">
              <a:srgbClr val="456AAE"/>
            </a:gs>
            <a:gs pos="100000">
              <a:srgbClr val="585D89"/>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6515F0D-4453-4823-914A-04F93423FF1E}" type="TxLink">
            <a:rPr lang="en-US" sz="2800" b="1" i="0" u="none" strike="noStrike">
              <a:solidFill>
                <a:schemeClr val="bg1"/>
              </a:solidFill>
              <a:latin typeface="Calibri"/>
              <a:ea typeface="Calibri"/>
              <a:cs typeface="Calibri"/>
            </a:rPr>
            <a:t>150</a:t>
          </a:fld>
          <a:endParaRPr lang="en-ID" sz="6000" b="1">
            <a:solidFill>
              <a:schemeClr val="bg1"/>
            </a:solidFill>
          </a:endParaRPr>
        </a:p>
      </xdr:txBody>
    </xdr:sp>
    <xdr:clientData/>
  </xdr:twoCellAnchor>
  <xdr:twoCellAnchor>
    <xdr:from>
      <xdr:col>12</xdr:col>
      <xdr:colOff>82183</xdr:colOff>
      <xdr:row>2</xdr:row>
      <xdr:rowOff>101080</xdr:rowOff>
    </xdr:from>
    <xdr:to>
      <xdr:col>15</xdr:col>
      <xdr:colOff>470214</xdr:colOff>
      <xdr:row>4</xdr:row>
      <xdr:rowOff>29194</xdr:rowOff>
    </xdr:to>
    <xdr:sp macro="" textlink="">
      <xdr:nvSpPr>
        <xdr:cNvPr id="9" name="TextBox 8">
          <a:extLst>
            <a:ext uri="{FF2B5EF4-FFF2-40B4-BE49-F238E27FC236}">
              <a16:creationId xmlns:a16="http://schemas.microsoft.com/office/drawing/2014/main" id="{C790CFE4-84EA-402D-ACFC-0C3818A32D1F}"/>
            </a:ext>
          </a:extLst>
        </xdr:cNvPr>
        <xdr:cNvSpPr txBox="1"/>
      </xdr:nvSpPr>
      <xdr:spPr>
        <a:xfrm>
          <a:off x="7616565" y="486361"/>
          <a:ext cx="2218115" cy="313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0">
              <a:solidFill>
                <a:schemeClr val="bg1"/>
              </a:solidFill>
            </a:rPr>
            <a:t>Total Kendala</a:t>
          </a:r>
        </a:p>
      </xdr:txBody>
    </xdr:sp>
    <xdr:clientData/>
  </xdr:twoCellAnchor>
  <xdr:twoCellAnchor>
    <xdr:from>
      <xdr:col>4</xdr:col>
      <xdr:colOff>145761</xdr:colOff>
      <xdr:row>9</xdr:row>
      <xdr:rowOff>93276</xdr:rowOff>
    </xdr:from>
    <xdr:to>
      <xdr:col>10</xdr:col>
      <xdr:colOff>328840</xdr:colOff>
      <xdr:row>20</xdr:row>
      <xdr:rowOff>131384</xdr:rowOff>
    </xdr:to>
    <xdr:graphicFrame macro="">
      <xdr:nvGraphicFramePr>
        <xdr:cNvPr id="12" name="Chart 11">
          <a:extLst>
            <a:ext uri="{FF2B5EF4-FFF2-40B4-BE49-F238E27FC236}">
              <a16:creationId xmlns:a16="http://schemas.microsoft.com/office/drawing/2014/main" id="{F215D570-EFCE-4CEF-A943-98CA83CEB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19438</xdr:colOff>
      <xdr:row>9</xdr:row>
      <xdr:rowOff>87386</xdr:rowOff>
    </xdr:from>
    <xdr:to>
      <xdr:col>15</xdr:col>
      <xdr:colOff>447091</xdr:colOff>
      <xdr:row>31</xdr:row>
      <xdr:rowOff>81856</xdr:rowOff>
    </xdr:to>
    <xdr:graphicFrame macro="">
      <xdr:nvGraphicFramePr>
        <xdr:cNvPr id="14" name="Chart 13">
          <a:extLst>
            <a:ext uri="{FF2B5EF4-FFF2-40B4-BE49-F238E27FC236}">
              <a16:creationId xmlns:a16="http://schemas.microsoft.com/office/drawing/2014/main" id="{DB5DDA84-9A83-4670-95D7-1FE7AFC79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141973</xdr:colOff>
      <xdr:row>21</xdr:row>
      <xdr:rowOff>63960</xdr:rowOff>
    </xdr:from>
    <xdr:to>
      <xdr:col>10</xdr:col>
      <xdr:colOff>340803</xdr:colOff>
      <xdr:row>31</xdr:row>
      <xdr:rowOff>85135</xdr:rowOff>
    </xdr:to>
    <xdr:graphicFrame macro="">
      <xdr:nvGraphicFramePr>
        <xdr:cNvPr id="16" name="Chart 15">
          <a:extLst>
            <a:ext uri="{FF2B5EF4-FFF2-40B4-BE49-F238E27FC236}">
              <a16:creationId xmlns:a16="http://schemas.microsoft.com/office/drawing/2014/main" id="{A76E0D5D-EAF6-4DDA-A908-C5989C49E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585526</xdr:colOff>
      <xdr:row>26</xdr:row>
      <xdr:rowOff>141146</xdr:rowOff>
    </xdr:from>
    <xdr:to>
      <xdr:col>3</xdr:col>
      <xdr:colOff>462379</xdr:colOff>
      <xdr:row>29</xdr:row>
      <xdr:rowOff>138713</xdr:rowOff>
    </xdr:to>
    <xdr:pic>
      <xdr:nvPicPr>
        <xdr:cNvPr id="49" name="Picture 48">
          <a:extLst>
            <a:ext uri="{FF2B5EF4-FFF2-40B4-BE49-F238E27FC236}">
              <a16:creationId xmlns:a16="http://schemas.microsoft.com/office/drawing/2014/main" id="{F9A0AA50-9CB2-C6AF-3AED-570FDC751103}"/>
            </a:ext>
          </a:extLst>
        </xdr:cNvPr>
        <xdr:cNvPicPr>
          <a:picLocks noChangeAspect="1"/>
        </xdr:cNvPicPr>
      </xdr:nvPicPr>
      <xdr:blipFill>
        <a:blip xmlns:r="http://schemas.openxmlformats.org/officeDocument/2006/relationships" r:embed="rId4"/>
        <a:stretch>
          <a:fillRect/>
        </a:stretch>
      </xdr:blipFill>
      <xdr:spPr>
        <a:xfrm>
          <a:off x="585526" y="5190321"/>
          <a:ext cx="1707872" cy="580164"/>
        </a:xfrm>
        <a:prstGeom prst="rect">
          <a:avLst/>
        </a:prstGeom>
      </xdr:spPr>
    </xdr:pic>
    <xdr:clientData/>
  </xdr:twoCellAnchor>
  <xdr:twoCellAnchor>
    <xdr:from>
      <xdr:col>4</xdr:col>
      <xdr:colOff>141591</xdr:colOff>
      <xdr:row>32</xdr:row>
      <xdr:rowOff>70631</xdr:rowOff>
    </xdr:from>
    <xdr:to>
      <xdr:col>15</xdr:col>
      <xdr:colOff>433916</xdr:colOff>
      <xdr:row>36</xdr:row>
      <xdr:rowOff>148064</xdr:rowOff>
    </xdr:to>
    <xdr:sp macro="" textlink="">
      <xdr:nvSpPr>
        <xdr:cNvPr id="50" name="Rectangle 49">
          <a:extLst>
            <a:ext uri="{FF2B5EF4-FFF2-40B4-BE49-F238E27FC236}">
              <a16:creationId xmlns:a16="http://schemas.microsoft.com/office/drawing/2014/main" id="{1FB7CF45-BD05-B88D-FC47-16DC2F72725B}"/>
            </a:ext>
          </a:extLst>
        </xdr:cNvPr>
        <xdr:cNvSpPr/>
      </xdr:nvSpPr>
      <xdr:spPr>
        <a:xfrm>
          <a:off x="2579991" y="6166631"/>
          <a:ext cx="7207475" cy="858483"/>
        </a:xfrm>
        <a:prstGeom prst="rect">
          <a:avLst/>
        </a:prstGeom>
        <a:gradFill>
          <a:gsLst>
            <a:gs pos="0">
              <a:schemeClr val="bg1"/>
            </a:gs>
            <a:gs pos="57000">
              <a:srgbClr val="E5F0F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fontAlgn="b"/>
          <a:r>
            <a:rPr lang="en-ID" sz="1200" b="1" i="0" u="none" strike="noStrike">
              <a:solidFill>
                <a:schemeClr val="tx1"/>
              </a:solidFill>
              <a:effectLst/>
              <a:latin typeface="+mn-lt"/>
              <a:ea typeface="+mn-ea"/>
              <a:cs typeface="+mn-cs"/>
            </a:rPr>
            <a:t>Insight Operasional </a:t>
          </a:r>
        </a:p>
        <a:p>
          <a:pPr algn="l" fontAlgn="b"/>
          <a:r>
            <a:rPr lang="en-ID" sz="1200" b="1" i="0" u="none" strike="noStrike">
              <a:solidFill>
                <a:schemeClr val="tx1"/>
              </a:solidFill>
              <a:effectLst/>
              <a:latin typeface="+mn-lt"/>
              <a:ea typeface="+mn-ea"/>
              <a:cs typeface="+mn-cs"/>
            </a:rPr>
            <a:t>1).</a:t>
          </a:r>
          <a:r>
            <a:rPr lang="en-ID" sz="1200" b="1" i="0" u="none" strike="noStrike" baseline="0">
              <a:solidFill>
                <a:schemeClr val="tx1"/>
              </a:solidFill>
              <a:effectLst/>
              <a:latin typeface="+mn-lt"/>
              <a:ea typeface="+mn-ea"/>
              <a:cs typeface="+mn-cs"/>
            </a:rPr>
            <a:t> </a:t>
          </a:r>
          <a:r>
            <a:rPr lang="en-ID" sz="1200" b="1" i="0" u="none" strike="noStrike">
              <a:solidFill>
                <a:schemeClr val="tx1"/>
              </a:solidFill>
              <a:effectLst/>
              <a:latin typeface="+mn-lt"/>
              <a:ea typeface="+mn-ea"/>
              <a:cs typeface="+mn-cs"/>
            </a:rPr>
            <a:t>Revenue dan paket dikirim menurun dari Jan ke Mar</a:t>
          </a:r>
        </a:p>
        <a:p>
          <a:pPr algn="l" fontAlgn="b"/>
          <a:r>
            <a:rPr lang="en-ID" sz="1200" b="1" i="0" u="none" strike="noStrike">
              <a:solidFill>
                <a:schemeClr val="tx1"/>
              </a:solidFill>
              <a:effectLst/>
              <a:latin typeface="+mn-lt"/>
              <a:ea typeface="+mn-ea"/>
              <a:cs typeface="+mn-cs"/>
            </a:rPr>
            <a:t>2).</a:t>
          </a:r>
          <a:r>
            <a:rPr lang="en-ID" sz="1200" b="1" i="0" u="none" strike="noStrike" baseline="0">
              <a:solidFill>
                <a:schemeClr val="tx1"/>
              </a:solidFill>
              <a:effectLst/>
              <a:latin typeface="+mn-lt"/>
              <a:ea typeface="+mn-ea"/>
              <a:cs typeface="+mn-cs"/>
            </a:rPr>
            <a:t> </a:t>
          </a:r>
          <a:r>
            <a:rPr lang="en-ID" sz="1200" b="1" i="0" u="none" strike="noStrike">
              <a:solidFill>
                <a:schemeClr val="tx1"/>
              </a:solidFill>
              <a:effectLst/>
              <a:latin typeface="+mn-lt"/>
              <a:ea typeface="+mn-ea"/>
              <a:cs typeface="+mn-cs"/>
            </a:rPr>
            <a:t>Kendala operasional meningkat dari Jan ke Mar </a:t>
          </a:r>
          <a:r>
            <a:rPr lang="en-ID" sz="1200" b="1">
              <a:solidFill>
                <a:schemeClr val="tx1"/>
              </a:solidFill>
              <a:effectLst/>
            </a:rPr>
            <a:t> </a:t>
          </a:r>
          <a:r>
            <a:rPr lang="en-ID" sz="1200" b="1" i="0" u="none" strike="noStrike">
              <a:solidFill>
                <a:schemeClr val="tx1"/>
              </a:solidFill>
              <a:effectLst/>
              <a:latin typeface="+mn-lt"/>
              <a:ea typeface="+mn-ea"/>
              <a:cs typeface="+mn-cs"/>
            </a:rPr>
            <a:t> </a:t>
          </a:r>
          <a:r>
            <a:rPr lang="en-ID" sz="1200" b="1">
              <a:solidFill>
                <a:schemeClr val="tx1"/>
              </a:solidFill>
              <a:effectLst/>
            </a:rPr>
            <a:t> </a:t>
          </a:r>
        </a:p>
        <a:p>
          <a:pPr algn="l" fontAlgn="b"/>
          <a:r>
            <a:rPr lang="en-ID" sz="1200" b="1" i="0" u="none" strike="noStrike">
              <a:solidFill>
                <a:schemeClr val="tx1"/>
              </a:solidFill>
              <a:effectLst/>
              <a:latin typeface="+mn-lt"/>
              <a:ea typeface="+mn-ea"/>
              <a:cs typeface="+mn-cs"/>
            </a:rPr>
            <a:t>3).</a:t>
          </a:r>
          <a:r>
            <a:rPr lang="en-ID" sz="1200" b="1" i="0" u="none" strike="noStrike" baseline="0">
              <a:solidFill>
                <a:schemeClr val="tx1"/>
              </a:solidFill>
              <a:effectLst/>
              <a:latin typeface="+mn-lt"/>
              <a:ea typeface="+mn-ea"/>
              <a:cs typeface="+mn-cs"/>
            </a:rPr>
            <a:t> </a:t>
          </a:r>
          <a:r>
            <a:rPr lang="en-ID" sz="1200" b="1" i="0" u="none" strike="noStrike">
              <a:solidFill>
                <a:schemeClr val="tx1"/>
              </a:solidFill>
              <a:effectLst/>
              <a:latin typeface="+mn-lt"/>
              <a:ea typeface="+mn-ea"/>
              <a:cs typeface="+mn-cs"/>
            </a:rPr>
            <a:t>Perlu evaluasi proses operasional per area  </a:t>
          </a:r>
          <a:r>
            <a:rPr lang="en-ID" sz="1200" b="1">
              <a:solidFill>
                <a:schemeClr val="tx1"/>
              </a:solidFill>
              <a:effectLst/>
            </a:rPr>
            <a:t> </a:t>
          </a:r>
          <a:endParaRPr lang="en-ID" sz="12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185660</xdr:colOff>
      <xdr:row>1</xdr:row>
      <xdr:rowOff>97835</xdr:rowOff>
    </xdr:from>
    <xdr:to>
      <xdr:col>9</xdr:col>
      <xdr:colOff>423303</xdr:colOff>
      <xdr:row>16</xdr:row>
      <xdr:rowOff>68834</xdr:rowOff>
    </xdr:to>
    <xdr:graphicFrame macro="">
      <xdr:nvGraphicFramePr>
        <xdr:cNvPr id="3" name="Chart 2">
          <a:extLst>
            <a:ext uri="{FF2B5EF4-FFF2-40B4-BE49-F238E27FC236}">
              <a16:creationId xmlns:a16="http://schemas.microsoft.com/office/drawing/2014/main" id="{4A03BD45-99A5-4A11-1C1A-163349AA3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702059</xdr:colOff>
      <xdr:row>20</xdr:row>
      <xdr:rowOff>23042</xdr:rowOff>
    </xdr:from>
    <xdr:ext cx="1817766" cy="1280043"/>
    <mc:AlternateContent xmlns:mc="http://schemas.openxmlformats.org/markup-compatibility/2006">
      <mc:Choice xmlns:a14="http://schemas.microsoft.com/office/drawing/2010/main" Requires="a14">
        <xdr:graphicFrame macro="">
          <xdr:nvGraphicFramePr>
            <xdr:cNvPr id="4" name="Bulan">
              <a:extLst>
                <a:ext uri="{FF2B5EF4-FFF2-40B4-BE49-F238E27FC236}">
                  <a16:creationId xmlns:a16="http://schemas.microsoft.com/office/drawing/2014/main" id="{93377CE1-A010-6708-64CA-3FEBF2D1B1C7}"/>
                </a:ext>
              </a:extLst>
            </xdr:cNvPr>
            <xdr:cNvGraphicFramePr/>
          </xdr:nvGraphicFramePr>
          <xdr:xfrm>
            <a:off x="0" y="0"/>
            <a:ext cx="0" cy="0"/>
          </xdr:xfrm>
          <a:graphic>
            <a:graphicData uri="http://schemas.microsoft.com/office/drawing/2010/slicer">
              <sle:slicer xmlns:sle="http://schemas.microsoft.com/office/drawing/2010/slicer" name="Bulan"/>
            </a:graphicData>
          </a:graphic>
        </xdr:graphicFrame>
      </mc:Choice>
      <mc:Fallback>
        <xdr:sp macro="" textlink="">
          <xdr:nvSpPr>
            <xdr:cNvPr id="0" name=""/>
            <xdr:cNvSpPr>
              <a:spLocks noTextEdit="1"/>
            </xdr:cNvSpPr>
          </xdr:nvSpPr>
          <xdr:spPr>
            <a:xfrm>
              <a:off x="1611264" y="3919633"/>
              <a:ext cx="1817766" cy="12800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610658</xdr:colOff>
      <xdr:row>3</xdr:row>
      <xdr:rowOff>118534</xdr:rowOff>
    </xdr:from>
    <xdr:ext cx="1811236" cy="1282069"/>
    <mc:AlternateContent xmlns:mc="http://schemas.openxmlformats.org/markup-compatibility/2006" xmlns:a14="http://schemas.microsoft.com/office/drawing/2010/main">
      <mc:Choice Requires="a14">
        <xdr:graphicFrame macro="">
          <xdr:nvGraphicFramePr>
            <xdr:cNvPr id="5" name="Area">
              <a:extLst>
                <a:ext uri="{FF2B5EF4-FFF2-40B4-BE49-F238E27FC236}">
                  <a16:creationId xmlns:a16="http://schemas.microsoft.com/office/drawing/2014/main" id="{459C9F74-1C46-23C0-F5D7-E9475CB65C17}"/>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8301589" y="696114"/>
              <a:ext cx="1811236" cy="12820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358865</xdr:colOff>
      <xdr:row>12</xdr:row>
      <xdr:rowOff>186267</xdr:rowOff>
    </xdr:from>
    <xdr:ext cx="1817766" cy="1280043"/>
    <mc:AlternateContent xmlns:mc="http://schemas.openxmlformats.org/markup-compatibility/2006" xmlns:a14="http://schemas.microsoft.com/office/drawing/2010/main">
      <mc:Choice Requires="a14">
        <xdr:graphicFrame macro="">
          <xdr:nvGraphicFramePr>
            <xdr:cNvPr id="6" name="Bulan 1">
              <a:extLst>
                <a:ext uri="{FF2B5EF4-FFF2-40B4-BE49-F238E27FC236}">
                  <a16:creationId xmlns:a16="http://schemas.microsoft.com/office/drawing/2014/main" id="{1A175913-BD4F-B543-92F5-C8CBA3A55845}"/>
                </a:ext>
              </a:extLst>
            </xdr:cNvPr>
            <xdr:cNvGraphicFramePr/>
          </xdr:nvGraphicFramePr>
          <xdr:xfrm>
            <a:off x="0" y="0"/>
            <a:ext cx="0" cy="0"/>
          </xdr:xfrm>
          <a:graphic>
            <a:graphicData uri="http://schemas.microsoft.com/office/drawing/2010/slicer">
              <sle:slicer xmlns:sle="http://schemas.microsoft.com/office/drawing/2010/slicer" name="Bulan 1"/>
            </a:graphicData>
          </a:graphic>
        </xdr:graphicFrame>
      </mc:Choice>
      <mc:Fallback xmlns="">
        <xdr:sp macro="" textlink="">
          <xdr:nvSpPr>
            <xdr:cNvPr id="0" name=""/>
            <xdr:cNvSpPr>
              <a:spLocks noTextEdit="1"/>
            </xdr:cNvSpPr>
          </xdr:nvSpPr>
          <xdr:spPr>
            <a:xfrm>
              <a:off x="8049796" y="2496586"/>
              <a:ext cx="1817766" cy="12800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155079</xdr:colOff>
      <xdr:row>6</xdr:row>
      <xdr:rowOff>58141</xdr:rowOff>
    </xdr:from>
    <xdr:ext cx="1811236" cy="1282069"/>
    <mc:AlternateContent xmlns:mc="http://schemas.openxmlformats.org/markup-compatibility/2006" xmlns:a14="http://schemas.microsoft.com/office/drawing/2010/main">
      <mc:Choice Requires="a14">
        <xdr:graphicFrame macro="">
          <xdr:nvGraphicFramePr>
            <xdr:cNvPr id="9" name="Area 1">
              <a:extLst>
                <a:ext uri="{FF2B5EF4-FFF2-40B4-BE49-F238E27FC236}">
                  <a16:creationId xmlns:a16="http://schemas.microsoft.com/office/drawing/2014/main" id="{DA247D9E-0CAC-8E23-1E8F-2F90E22BF273}"/>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10277925" y="1213301"/>
              <a:ext cx="1811236" cy="12820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2</xdr:col>
      <xdr:colOff>471487</xdr:colOff>
      <xdr:row>1</xdr:row>
      <xdr:rowOff>0</xdr:rowOff>
    </xdr:from>
    <xdr:to>
      <xdr:col>10</xdr:col>
      <xdr:colOff>166687</xdr:colOff>
      <xdr:row>15</xdr:row>
      <xdr:rowOff>76200</xdr:rowOff>
    </xdr:to>
    <xdr:graphicFrame macro="">
      <xdr:nvGraphicFramePr>
        <xdr:cNvPr id="2" name="Chart 1">
          <a:extLst>
            <a:ext uri="{FF2B5EF4-FFF2-40B4-BE49-F238E27FC236}">
              <a16:creationId xmlns:a16="http://schemas.microsoft.com/office/drawing/2014/main" id="{88F80973-026B-3D48-A42B-EC6320339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395287</xdr:colOff>
      <xdr:row>2</xdr:row>
      <xdr:rowOff>19050</xdr:rowOff>
    </xdr:from>
    <xdr:to>
      <xdr:col>10</xdr:col>
      <xdr:colOff>90487</xdr:colOff>
      <xdr:row>16</xdr:row>
      <xdr:rowOff>95250</xdr:rowOff>
    </xdr:to>
    <xdr:graphicFrame macro="">
      <xdr:nvGraphicFramePr>
        <xdr:cNvPr id="2" name="Chart 1">
          <a:extLst>
            <a:ext uri="{FF2B5EF4-FFF2-40B4-BE49-F238E27FC236}">
              <a16:creationId xmlns:a16="http://schemas.microsoft.com/office/drawing/2014/main" id="{D43187BB-EEBB-2E23-5E63-7A6105091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62.920221527776" createdVersion="8" refreshedVersion="8" minRefreshableVersion="3" recordCount="3" xr:uid="{5A8446BA-7107-4B7A-8A8C-8B43452148C3}">
  <cacheSource type="worksheet">
    <worksheetSource name="Table1"/>
  </cacheSource>
  <cacheFields count="5">
    <cacheField name="Bulan" numFmtId="0">
      <sharedItems count="3">
        <s v="Jan"/>
        <s v="Feb"/>
        <s v="Mar"/>
      </sharedItems>
    </cacheField>
    <cacheField name="Area" numFmtId="0">
      <sharedItems count="3">
        <s v="Barat"/>
        <s v="Tengah"/>
        <s v="Timur"/>
      </sharedItems>
    </cacheField>
    <cacheField name="Revenue" numFmtId="41">
      <sharedItems containsSemiMixedTypes="0" containsString="0" containsNumber="1" containsInteger="1" minValue="10800000" maxValue="12000000"/>
    </cacheField>
    <cacheField name="PaketDikirim" numFmtId="0">
      <sharedItems containsSemiMixedTypes="0" containsString="0" containsNumber="1" containsInteger="1" minValue="720" maxValue="800"/>
    </cacheField>
    <cacheField name="Kendala" numFmtId="0">
      <sharedItems containsSemiMixedTypes="0" containsString="0" containsNumber="1" containsInteger="1" minValue="45" maxValue="55"/>
    </cacheField>
  </cacheFields>
  <extLst>
    <ext xmlns:x14="http://schemas.microsoft.com/office/spreadsheetml/2009/9/main" uri="{725AE2AE-9491-48be-B2B4-4EB974FC3084}">
      <x14:pivotCacheDefinition pivotCacheId="1513053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n v="12000000"/>
    <n v="800"/>
    <n v="45"/>
  </r>
  <r>
    <x v="1"/>
    <x v="1"/>
    <n v="11500000"/>
    <n v="760"/>
    <n v="50"/>
  </r>
  <r>
    <x v="2"/>
    <x v="2"/>
    <n v="10800000"/>
    <n v="720"/>
    <n v="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CEDFF9-F6FC-4ED9-B47D-1D0DAD5FD2AB}" name="Pivot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7" firstHeaderRow="1" firstDataRow="1" firstDataCol="1"/>
  <pivotFields count="5">
    <pivotField axis="axisRow" showAll="0">
      <items count="4">
        <item x="0"/>
        <item x="1"/>
        <item x="2"/>
        <item t="default"/>
      </items>
    </pivotField>
    <pivotField showAll="0">
      <items count="4">
        <item x="0"/>
        <item x="1"/>
        <item x="2"/>
        <item t="default"/>
      </items>
    </pivotField>
    <pivotField dataField="1" numFmtId="41" showAll="0"/>
    <pivotField showAll="0"/>
    <pivotField showAll="0"/>
  </pivotFields>
  <rowFields count="1">
    <field x="0"/>
  </rowFields>
  <rowItems count="4">
    <i>
      <x/>
    </i>
    <i>
      <x v="1"/>
    </i>
    <i>
      <x v="2"/>
    </i>
    <i t="grand">
      <x/>
    </i>
  </rowItems>
  <colItems count="1">
    <i/>
  </colItems>
  <dataFields count="1">
    <dataField name="Sum of Revenue" fld="2" baseField="0" baseItem="0" numFmtId="41"/>
  </dataFields>
  <conditionalFormats count="1">
    <conditionalFormat priority="1">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590057-7F86-4C82-9A68-370C4795F21B}" name="Pivot_Pake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5">
    <pivotField axis="axisRow" showAll="0">
      <items count="4">
        <item x="0"/>
        <item x="1"/>
        <item x="2"/>
        <item t="default"/>
      </items>
    </pivotField>
    <pivotField showAll="0">
      <items count="4">
        <item x="0"/>
        <item x="1"/>
        <item x="2"/>
        <item t="default"/>
      </items>
    </pivotField>
    <pivotField numFmtId="41" showAll="0"/>
    <pivotField dataField="1" showAll="0"/>
    <pivotField showAll="0"/>
  </pivotFields>
  <rowFields count="1">
    <field x="0"/>
  </rowFields>
  <rowItems count="4">
    <i>
      <x/>
    </i>
    <i>
      <x v="1"/>
    </i>
    <i>
      <x v="2"/>
    </i>
    <i t="grand">
      <x/>
    </i>
  </rowItems>
  <colItems count="1">
    <i/>
  </colItems>
  <dataFields count="1">
    <dataField name="Sum of PaketDikirim" fld="3" baseField="0" baseItem="0"/>
  </dataFields>
  <conditionalFormats count="1">
    <conditionalFormat priority="1">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951336-5BE1-4A81-8CFC-4255B421B447}" name="Pivot_Kendal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5">
    <pivotField axis="axisRow" showAll="0">
      <items count="4">
        <item x="0"/>
        <item x="1"/>
        <item x="2"/>
        <item t="default"/>
      </items>
    </pivotField>
    <pivotField showAll="0">
      <items count="4">
        <item x="0"/>
        <item x="1"/>
        <item x="2"/>
        <item t="default"/>
      </items>
    </pivotField>
    <pivotField numFmtId="41" showAll="0"/>
    <pivotField showAll="0"/>
    <pivotField dataField="1" showAll="0"/>
  </pivotFields>
  <rowFields count="1">
    <field x="0"/>
  </rowFields>
  <rowItems count="4">
    <i>
      <x/>
    </i>
    <i>
      <x v="1"/>
    </i>
    <i>
      <x v="2"/>
    </i>
    <i t="grand">
      <x/>
    </i>
  </rowItems>
  <colItems count="1">
    <i/>
  </colItems>
  <dataFields count="1">
    <dataField name="Sum of Kendala" fld="4" baseField="0" baseItem="0"/>
  </dataFields>
  <conditionalFormats count="1">
    <conditionalFormat priority="1">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530077CF-85FF-4D8E-A26D-619313076F54}" sourceName="Bulan">
  <pivotTables>
    <pivotTable tabId="3" name="Pivot_Revenue"/>
    <pivotTable tabId="4" name="Pivot_Paket"/>
    <pivotTable tabId="5" name="Pivot_Kendala"/>
  </pivotTables>
  <data>
    <tabular pivotCacheId="151305341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D8F67652-50B6-43C4-A881-BF66EA85A5DE}" sourceName="Area">
  <pivotTables>
    <pivotTable tabId="3" name="Pivot_Revenue"/>
    <pivotTable tabId="4" name="Pivot_Paket"/>
    <pivotTable tabId="5" name="Pivot_Kendala"/>
  </pivotTables>
  <data>
    <tabular pivotCacheId="15130534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2" xr10:uid="{E022ECA0-0EBC-4B2C-A2B9-7477E092BED4}" cache="Slicer_Bulan" caption="Filter Periode" style="Slicer Style 2" rowHeight="241300"/>
  <slicer name="Area 2" xr10:uid="{FADC828A-9D18-43E5-B9F0-0D258F59FD6E}" cache="Slicer_Area" caption="Filter Area"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xr10:uid="{E1D7A6A5-266B-4E52-A77F-7AF5B82AFB09}" cache="Slicer_Bulan" caption="Filter Periode" style="SlicerStyleDark5" rowHeight="241300"/>
  <slicer name="Bulan 1" xr10:uid="{16315CAF-FDB5-4EB5-8375-7AF598364F09}" cache="Slicer_Bulan" caption="Filter Periode" style="Slicer Style 2" rowHeight="241300"/>
  <slicer name="Area" xr10:uid="{DA9E2B30-9F35-4967-B6C4-DCDF9A9F74FA}" cache="Slicer_Area" caption="Filter Area" rowHeight="241300"/>
  <slicer name="Area 1" xr10:uid="{2A4D541F-27FF-4030-95C3-F9B65CC590C5}" cache="Slicer_Area" caption="Filter Area"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BFEA66-4ECB-4599-B512-2151740F03F0}" name="Table26" displayName="Table26" ref="G24:K27" totalsRowShown="0">
  <autoFilter ref="G24:K27" xr:uid="{45BFEA66-4ECB-4599-B512-2151740F03F0}"/>
  <tableColumns count="5">
    <tableColumn id="1" xr3:uid="{ABF6DB13-3560-4DE4-B248-2A05061BE5F0}" name="Bulan"/>
    <tableColumn id="2" xr3:uid="{DF6541DB-D3A4-47F2-A23F-CFD936D8B356}" name="Area"/>
    <tableColumn id="3" xr3:uid="{5C8D8E25-A3E5-4EF3-8CB1-E7E228168E8D}" name="Revenue"/>
    <tableColumn id="4" xr3:uid="{F5BFCFC3-3454-444D-B595-3DFCBB967D23}" name="PaketDikirim"/>
    <tableColumn id="5" xr3:uid="{C9342FD7-A17E-415F-B169-29010F568069}" name="Kendal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1680C8-2647-4792-BE1F-5950B65744D9}" name="Table1" displayName="Table1" ref="A1:E4" totalsRowShown="0">
  <autoFilter ref="A1:E4" xr:uid="{1B1680C8-2647-4792-BE1F-5950B65744D9}"/>
  <tableColumns count="5">
    <tableColumn id="1" xr3:uid="{4A61618A-6634-4A71-936F-41EC85935006}" name="Bulan"/>
    <tableColumn id="2" xr3:uid="{84DD9B17-6DC7-4D97-B45C-5F550D5F0C0C}" name="Area"/>
    <tableColumn id="3" xr3:uid="{002C5647-B1D6-4AB2-97C0-1C8A474E049C}" name="Revenue" dataDxfId="0" dataCellStyle="Comma [0]"/>
    <tableColumn id="4" xr3:uid="{E45C4CF9-07DC-4D51-BD1A-357EF0676246}" name="PaketDikirim"/>
    <tableColumn id="5" xr3:uid="{71C78661-88BC-4997-8084-C9AB2EE5E716}" name="Kendal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A1C83-5E79-41B6-BF4A-3D4C1F5DA004}">
  <dimension ref="E3:T38"/>
  <sheetViews>
    <sheetView tabSelected="1" zoomScale="109" zoomScaleNormal="50" workbookViewId="0">
      <selection activeCell="AB30" sqref="AB30"/>
    </sheetView>
  </sheetViews>
  <sheetFormatPr defaultRowHeight="15" x14ac:dyDescent="0.25"/>
  <cols>
    <col min="8" max="8" width="12.28515625" customWidth="1"/>
  </cols>
  <sheetData>
    <row r="3" spans="20:20" x14ac:dyDescent="0.25">
      <c r="T3">
        <f>GETPIVOTDATA("Revenue",Revenue!$A$3)</f>
        <v>34300000</v>
      </c>
    </row>
    <row r="6" spans="20:20" x14ac:dyDescent="0.25">
      <c r="T6">
        <f>GETPIVOTDATA("Sum of PaketDikirim",PaketDikirim!$A$3)</f>
        <v>2280</v>
      </c>
    </row>
    <row r="7" spans="20:20" x14ac:dyDescent="0.25">
      <c r="T7">
        <f>GETPIVOTDATA("Sum of Kendala",Kendala!$A$3)</f>
        <v>150</v>
      </c>
    </row>
    <row r="35" spans="5:15" ht="15.75" x14ac:dyDescent="0.25">
      <c r="E35" s="6"/>
      <c r="F35" s="6"/>
      <c r="K35" s="5"/>
      <c r="L35" s="5"/>
      <c r="M35" s="5"/>
      <c r="N35" s="5"/>
      <c r="O35" s="5"/>
    </row>
    <row r="36" spans="5:15" ht="15.75" x14ac:dyDescent="0.25">
      <c r="F36" s="6"/>
      <c r="G36" s="6"/>
      <c r="K36" s="5"/>
      <c r="L36" s="5"/>
      <c r="M36" s="5"/>
      <c r="N36" s="5"/>
      <c r="O36" s="5"/>
    </row>
    <row r="37" spans="5:15" ht="15.75" x14ac:dyDescent="0.25">
      <c r="F37" s="6"/>
      <c r="G37" s="6"/>
      <c r="K37" s="5"/>
      <c r="L37" s="5"/>
      <c r="M37" s="5"/>
      <c r="N37" s="5"/>
      <c r="O37" s="5"/>
    </row>
    <row r="38" spans="5:15" x14ac:dyDescent="0.25">
      <c r="K38" s="5"/>
      <c r="L38" s="5"/>
      <c r="M38" s="5"/>
      <c r="N38" s="5"/>
      <c r="O38" s="5"/>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DA8930CD-403B-4D68-B9E9-7BFB95BE89F8}">
          <x14:colorSeries theme="5" tint="-0.249977111117893"/>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Kendala!B4:B6</xm:f>
              <xm:sqref>H37</xm:sqref>
            </x14:sparkline>
          </x14:sparklines>
        </x14:sparklineGroup>
        <x14:sparklineGroup displayEmptyCellsAs="gap" xr2:uid="{DCC8324F-B98C-40FA-926B-3CE7DC625691}">
          <x14:colorSeries rgb="FF376092"/>
          <x14:colorNegative rgb="FFD00000"/>
          <x14:colorAxis rgb="FF000000"/>
          <x14:colorMarkers rgb="FFD00000"/>
          <x14:colorFirst rgb="FFD00000"/>
          <x14:colorLast rgb="FFD00000"/>
          <x14:colorHigh rgb="FFD00000"/>
          <x14:colorLow rgb="FFD00000"/>
          <x14:sparklines>
            <x14:sparkline>
              <xm:f>PaketDikirim!B4:B6</xm:f>
              <xm:sqref>H36</xm:sqref>
            </x14:sparkline>
          </x14:sparklines>
        </x14:sparklineGroup>
        <x14:sparklineGroup displayEmptyCellsAs="gap" xr2:uid="{DEBE7016-AEA6-4616-97E0-7C632651961B}">
          <x14:colorSeries rgb="FF00B050"/>
          <x14:colorNegative rgb="FFFF0000"/>
          <x14:colorAxis rgb="FF000000"/>
          <x14:colorMarkers rgb="FF0070C0"/>
          <x14:colorFirst rgb="FFFFC000"/>
          <x14:colorLast rgb="FFFFC000"/>
          <x14:colorHigh rgb="FF00B050"/>
          <x14:colorLow rgb="FFFF0000"/>
          <x14:sparklines>
            <x14:sparkline>
              <xm:f>Revenue!B4:B6</xm:f>
              <xm:sqref>H35</xm:sqref>
            </x14:sparkline>
          </x14:sparklines>
        </x14:sparklineGroup>
      </x14:sparklineGroup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5EA5-83BE-4387-A02A-600CC219FEA0}">
  <dimension ref="A3:K27"/>
  <sheetViews>
    <sheetView topLeftCell="A6" zoomScale="88" workbookViewId="0">
      <selection activeCell="C15" sqref="C15"/>
    </sheetView>
  </sheetViews>
  <sheetFormatPr defaultRowHeight="15" x14ac:dyDescent="0.25"/>
  <cols>
    <col min="1" max="1" width="13.5703125" bestFit="1" customWidth="1"/>
    <col min="2" max="2" width="15.7109375" bestFit="1" customWidth="1"/>
    <col min="3" max="4" width="19.28515625" bestFit="1" customWidth="1"/>
    <col min="7" max="7" width="11" customWidth="1"/>
  </cols>
  <sheetData>
    <row r="3" spans="1:2" x14ac:dyDescent="0.25">
      <c r="A3" s="2" t="s">
        <v>11</v>
      </c>
      <c r="B3" t="s">
        <v>13</v>
      </c>
    </row>
    <row r="4" spans="1:2" x14ac:dyDescent="0.25">
      <c r="A4" s="3" t="s">
        <v>5</v>
      </c>
      <c r="B4" s="4">
        <v>12000000</v>
      </c>
    </row>
    <row r="5" spans="1:2" x14ac:dyDescent="0.25">
      <c r="A5" s="3" t="s">
        <v>7</v>
      </c>
      <c r="B5" s="4">
        <v>11500000</v>
      </c>
    </row>
    <row r="6" spans="1:2" x14ac:dyDescent="0.25">
      <c r="A6" s="3" t="s">
        <v>9</v>
      </c>
      <c r="B6" s="4">
        <v>10800000</v>
      </c>
    </row>
    <row r="7" spans="1:2" x14ac:dyDescent="0.25">
      <c r="A7" s="3" t="s">
        <v>12</v>
      </c>
      <c r="B7" s="4">
        <v>34300000</v>
      </c>
    </row>
    <row r="9" spans="1:2" x14ac:dyDescent="0.25">
      <c r="A9" s="3" t="s">
        <v>21</v>
      </c>
      <c r="B9">
        <f>GETPIVOTDATA("Revenue",$A$3)</f>
        <v>34300000</v>
      </c>
    </row>
    <row r="19" spans="2:11" x14ac:dyDescent="0.25">
      <c r="B19" t="s">
        <v>17</v>
      </c>
    </row>
    <row r="22" spans="2:11" x14ac:dyDescent="0.25">
      <c r="G22" s="5" t="s">
        <v>16</v>
      </c>
    </row>
    <row r="24" spans="2:11" x14ac:dyDescent="0.25">
      <c r="G24" t="s">
        <v>0</v>
      </c>
      <c r="H24" t="s">
        <v>1</v>
      </c>
      <c r="I24" t="s">
        <v>2</v>
      </c>
      <c r="J24" t="s">
        <v>3</v>
      </c>
      <c r="K24" t="s">
        <v>4</v>
      </c>
    </row>
    <row r="25" spans="2:11" x14ac:dyDescent="0.25">
      <c r="G25" t="s">
        <v>5</v>
      </c>
      <c r="H25" t="s">
        <v>6</v>
      </c>
      <c r="I25">
        <v>12000000</v>
      </c>
      <c r="J25">
        <v>800</v>
      </c>
      <c r="K25">
        <v>45</v>
      </c>
    </row>
    <row r="26" spans="2:11" x14ac:dyDescent="0.25">
      <c r="G26" t="s">
        <v>7</v>
      </c>
      <c r="H26" t="s">
        <v>8</v>
      </c>
      <c r="I26">
        <v>11500000</v>
      </c>
      <c r="J26">
        <v>760</v>
      </c>
      <c r="K26">
        <v>50</v>
      </c>
    </row>
    <row r="27" spans="2:11" x14ac:dyDescent="0.25">
      <c r="G27" t="s">
        <v>9</v>
      </c>
      <c r="H27" t="s">
        <v>10</v>
      </c>
      <c r="I27">
        <v>10800000</v>
      </c>
      <c r="J27">
        <v>720</v>
      </c>
      <c r="K27">
        <v>55</v>
      </c>
    </row>
  </sheetData>
  <conditionalFormatting pivot="1" sqref="B4:B6">
    <cfRule type="colorScale" priority="1">
      <colorScale>
        <cfvo type="min"/>
        <cfvo type="percentile" val="50"/>
        <cfvo type="max"/>
        <color rgb="FFF8696B"/>
        <color rgb="FFFFEB84"/>
        <color rgb="FF63BE7B"/>
      </colorScale>
    </cfRule>
  </conditionalFormatting>
  <pageMargins left="0.7" right="0.7" top="0.75" bottom="0.75" header="0.3" footer="0.3"/>
  <drawing r:id="rId2"/>
  <tableParts count="1">
    <tablePart r:id="rId3"/>
  </tableParts>
  <extLst>
    <ext xmlns:x14="http://schemas.microsoft.com/office/spreadsheetml/2009/9/main" uri="{05C60535-1F16-4fd2-B633-F4F36F0B64E0}">
      <x14:sparklineGroups xmlns:xm="http://schemas.microsoft.com/office/excel/2006/main">
        <x14:sparklineGroup displayEmptyCellsAs="gap" xr2:uid="{026347C7-E9B4-4535-B2D2-31312E9E79F9}">
          <x14:colorSeries rgb="FF376092"/>
          <x14:colorNegative rgb="FFD00000"/>
          <x14:colorAxis rgb="FF000000"/>
          <x14:colorMarkers rgb="FFD00000"/>
          <x14:colorFirst rgb="FFD00000"/>
          <x14:colorLast rgb="FFD00000"/>
          <x14:colorHigh rgb="FFD00000"/>
          <x14:colorLow rgb="FFD00000"/>
          <x14:sparklines>
            <x14:sparkline>
              <xm:f>Revenue!B4:B6</xm:f>
              <xm:sqref>C4</xm:sqref>
            </x14:sparkline>
          </x14:sparklines>
        </x14:sparklineGroup>
        <x14:sparklineGroup displayEmptyCellsAs="gap" xr2:uid="{4B7867C6-A19F-4545-BDD4-CAB5CCE05AC5}">
          <x14:colorSeries rgb="FF376092"/>
          <x14:colorNegative rgb="FFD00000"/>
          <x14:colorAxis rgb="FF000000"/>
          <x14:colorMarkers rgb="FFD00000"/>
          <x14:colorFirst rgb="FFD00000"/>
          <x14:colorLast rgb="FFD00000"/>
          <x14:colorHigh rgb="FFD00000"/>
          <x14:colorLow rgb="FFD00000"/>
          <x14:sparklines>
            <x14:sparkline>
              <xm:f>Revenue!B4:B6</xm:f>
              <xm:sqref>C19</xm:sqref>
            </x14:sparkline>
          </x14:sparklines>
        </x14:sparklineGroup>
      </x14:sparklineGroup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90ABB-90D3-4B70-8A0D-EEA974C06BCD}">
  <dimension ref="A3:D18"/>
  <sheetViews>
    <sheetView workbookViewId="0">
      <selection activeCell="A9" sqref="A9"/>
    </sheetView>
  </sheetViews>
  <sheetFormatPr defaultRowHeight="15" x14ac:dyDescent="0.25"/>
  <cols>
    <col min="1" max="1" width="13.140625" bestFit="1" customWidth="1"/>
    <col min="2" max="2" width="19.28515625" bestFit="1" customWidth="1"/>
  </cols>
  <sheetData>
    <row r="3" spans="1:2" x14ac:dyDescent="0.25">
      <c r="A3" s="2" t="s">
        <v>11</v>
      </c>
      <c r="B3" t="s">
        <v>14</v>
      </c>
    </row>
    <row r="4" spans="1:2" x14ac:dyDescent="0.25">
      <c r="A4" s="3" t="s">
        <v>5</v>
      </c>
      <c r="B4">
        <v>800</v>
      </c>
    </row>
    <row r="5" spans="1:2" x14ac:dyDescent="0.25">
      <c r="A5" s="3" t="s">
        <v>7</v>
      </c>
      <c r="B5">
        <v>760</v>
      </c>
    </row>
    <row r="6" spans="1:2" x14ac:dyDescent="0.25">
      <c r="A6" s="3" t="s">
        <v>9</v>
      </c>
      <c r="B6">
        <v>720</v>
      </c>
    </row>
    <row r="7" spans="1:2" x14ac:dyDescent="0.25">
      <c r="A7" s="3" t="s">
        <v>12</v>
      </c>
      <c r="B7">
        <v>2280</v>
      </c>
    </row>
    <row r="9" spans="1:2" x14ac:dyDescent="0.25">
      <c r="A9" s="3" t="s">
        <v>20</v>
      </c>
      <c r="B9">
        <f>GETPIVOTDATA("PaketDikirim",$A$3)</f>
        <v>2280</v>
      </c>
    </row>
    <row r="18" spans="4:4" x14ac:dyDescent="0.25">
      <c r="D18" t="s">
        <v>18</v>
      </c>
    </row>
  </sheetData>
  <conditionalFormatting pivot="1" sqref="B4:B6">
    <cfRule type="dataBar" priority="1">
      <dataBar>
        <cfvo type="min"/>
        <cfvo type="max"/>
        <color rgb="FF638EC6"/>
      </dataBar>
      <extLst>
        <ext xmlns:x14="http://schemas.microsoft.com/office/spreadsheetml/2009/9/main" uri="{B025F937-C7B1-47D3-B67F-A62EFF666E3E}">
          <x14:id>{82A5F466-024D-4A4B-A22B-CB1CE343D42B}</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82A5F466-024D-4A4B-A22B-CB1CE343D42B}">
            <x14:dataBar minLength="0" maxLength="100" border="1" negativeBarBorderColorSameAsPositive="0">
              <x14:cfvo type="autoMin"/>
              <x14:cfvo type="autoMax"/>
              <x14:borderColor rgb="FF638EC6"/>
              <x14:negativeFillColor rgb="FFFF0000"/>
              <x14:negativeBorderColor rgb="FFFF0000"/>
              <x14:axisColor rgb="FF000000"/>
            </x14:dataBar>
          </x14:cfRule>
          <xm:sqref>B4:B6</xm:sqref>
        </x14:conditionalFormatting>
      </x14:conditionalFormattings>
    </ext>
    <ext xmlns:x14="http://schemas.microsoft.com/office/spreadsheetml/2009/9/main" uri="{05C60535-1F16-4fd2-B633-F4F36F0B64E0}">
      <x14:sparklineGroups xmlns:xm="http://schemas.microsoft.com/office/excel/2006/main">
        <x14:sparklineGroup manualMax="0" manualMin="0" displayEmptyCellsAs="gap" xr2:uid="{DBB54DA6-1FAE-476C-A2D0-FBB5FD4EA706}">
          <x14:colorSeries rgb="FF376092"/>
          <x14:colorNegative rgb="FFD00000"/>
          <x14:colorAxis rgb="FF000000"/>
          <x14:colorMarkers rgb="FFD00000"/>
          <x14:colorFirst rgb="FFD00000"/>
          <x14:colorLast rgb="FFD00000"/>
          <x14:colorHigh rgb="FFD00000"/>
          <x14:colorLow rgb="FFD00000"/>
          <x14:sparklines>
            <x14:sparkline>
              <xm:f>PaketDikirim!B4:B6</xm:f>
              <xm:sqref>E18</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13C0E-6D46-4BE7-ABB3-91E4EBFB570D}">
  <dimension ref="A3:D19"/>
  <sheetViews>
    <sheetView workbookViewId="0">
      <selection activeCell="B11" sqref="B11"/>
    </sheetView>
  </sheetViews>
  <sheetFormatPr defaultRowHeight="15" x14ac:dyDescent="0.25"/>
  <cols>
    <col min="1" max="1" width="13.140625" bestFit="1" customWidth="1"/>
    <col min="2" max="2" width="14.85546875" bestFit="1" customWidth="1"/>
  </cols>
  <sheetData>
    <row r="3" spans="1:2" x14ac:dyDescent="0.25">
      <c r="A3" s="2" t="s">
        <v>11</v>
      </c>
      <c r="B3" t="s">
        <v>15</v>
      </c>
    </row>
    <row r="4" spans="1:2" x14ac:dyDescent="0.25">
      <c r="A4" s="3" t="s">
        <v>5</v>
      </c>
      <c r="B4">
        <v>45</v>
      </c>
    </row>
    <row r="5" spans="1:2" x14ac:dyDescent="0.25">
      <c r="A5" s="3" t="s">
        <v>7</v>
      </c>
      <c r="B5">
        <v>50</v>
      </c>
    </row>
    <row r="6" spans="1:2" x14ac:dyDescent="0.25">
      <c r="A6" s="3" t="s">
        <v>9</v>
      </c>
      <c r="B6">
        <v>55</v>
      </c>
    </row>
    <row r="7" spans="1:2" x14ac:dyDescent="0.25">
      <c r="A7" s="3" t="s">
        <v>12</v>
      </c>
      <c r="B7">
        <v>150</v>
      </c>
    </row>
    <row r="10" spans="1:2" x14ac:dyDescent="0.25">
      <c r="A10" s="3" t="s">
        <v>19</v>
      </c>
      <c r="B10">
        <f>GETPIVOTDATA("Kendala",$A$3)</f>
        <v>150</v>
      </c>
    </row>
    <row r="19" spans="4:4" x14ac:dyDescent="0.25">
      <c r="D19" t="s">
        <v>18</v>
      </c>
    </row>
  </sheetData>
  <conditionalFormatting pivot="1" sqref="B4:B6">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05C60535-1F16-4fd2-B633-F4F36F0B64E0}">
      <x14:sparklineGroups xmlns:xm="http://schemas.microsoft.com/office/excel/2006/main">
        <x14:sparklineGroup manualMax="0" manualMin="0" displayEmptyCellsAs="gap" xr2:uid="{537956A9-DE91-43EF-9B67-7771BBB005C9}">
          <x14:colorSeries theme="5" tint="-0.249977111117893"/>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Kendala!B4:B6</xm:f>
              <xm:sqref>E19</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A2ECC-0355-4A26-ADE8-5AF30ABE5849}">
  <dimension ref="A1:E4"/>
  <sheetViews>
    <sheetView workbookViewId="0">
      <selection activeCell="E10" sqref="E10"/>
    </sheetView>
  </sheetViews>
  <sheetFormatPr defaultRowHeight="15" x14ac:dyDescent="0.25"/>
  <cols>
    <col min="3" max="3" width="13.140625" customWidth="1"/>
    <col min="4" max="4" width="14.5703125" customWidth="1"/>
    <col min="5" max="5" width="10.28515625" customWidth="1"/>
  </cols>
  <sheetData>
    <row r="1" spans="1:5" x14ac:dyDescent="0.25">
      <c r="A1" t="s">
        <v>0</v>
      </c>
      <c r="B1" t="s">
        <v>1</v>
      </c>
      <c r="C1" t="s">
        <v>2</v>
      </c>
      <c r="D1" t="s">
        <v>3</v>
      </c>
      <c r="E1" t="s">
        <v>4</v>
      </c>
    </row>
    <row r="2" spans="1:5" x14ac:dyDescent="0.25">
      <c r="A2" t="s">
        <v>5</v>
      </c>
      <c r="B2" t="s">
        <v>6</v>
      </c>
      <c r="C2" s="1">
        <v>12000000</v>
      </c>
      <c r="D2">
        <v>800</v>
      </c>
      <c r="E2">
        <v>45</v>
      </c>
    </row>
    <row r="3" spans="1:5" x14ac:dyDescent="0.25">
      <c r="A3" t="s">
        <v>7</v>
      </c>
      <c r="B3" t="s">
        <v>8</v>
      </c>
      <c r="C3" s="1">
        <v>11500000</v>
      </c>
      <c r="D3">
        <v>760</v>
      </c>
      <c r="E3">
        <v>50</v>
      </c>
    </row>
    <row r="4" spans="1:5" x14ac:dyDescent="0.25">
      <c r="A4" t="s">
        <v>9</v>
      </c>
      <c r="B4" t="s">
        <v>10</v>
      </c>
      <c r="C4" s="1">
        <v>10800000</v>
      </c>
      <c r="D4">
        <v>720</v>
      </c>
      <c r="E4">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Revenue</vt:lpstr>
      <vt:lpstr>PaketDikirim</vt:lpstr>
      <vt:lpstr>Kendala</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ISABELLA CHRISTIANI</dc:creator>
  <cp:lastModifiedBy>ISABELLA CHRISTIANI</cp:lastModifiedBy>
  <dcterms:created xsi:type="dcterms:W3CDTF">2026-02-09T14:56:25Z</dcterms:created>
  <dcterms:modified xsi:type="dcterms:W3CDTF">2026-02-19T14:27:39Z</dcterms:modified>
</cp:coreProperties>
</file>